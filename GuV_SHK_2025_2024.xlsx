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vergleich" sheetId="1" state="visible" r:id="rId1"/>
    <sheet name="Monatlich 2025" sheetId="2" state="visible" r:id="rId2"/>
    <sheet name="Eigene Zahl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+0.0%;-0.0%;0.0%"/>
    <numFmt numFmtId="166" formatCode="0.0%"/>
    <numFmt numFmtId="167" formatCode="#,##0 &quot;€&quot;"/>
  </numFmts>
  <fonts count="16">
    <font>
      <name val="Calibri"/>
      <family val="2"/>
      <color theme="1"/>
      <sz val="11"/>
      <scheme val="minor"/>
    </font>
    <font>
      <b val="1"/>
      <color rgb="001a1a2e"/>
      <sz val="16"/>
    </font>
    <font>
      <i val="1"/>
      <color rgb="00718096"/>
      <sz val="12"/>
    </font>
    <font>
      <b val="1"/>
      <color rgb="00FFFFFF"/>
      <sz val="11"/>
    </font>
    <font>
      <name val="Segoe UI"/>
      <b val="1"/>
      <color rgb="00FFFFFF"/>
      <sz val="10"/>
    </font>
    <font>
      <color rgb="004a5568"/>
      <sz val="10"/>
    </font>
    <font>
      <color rgb="00276749"/>
      <sz val="11"/>
    </font>
    <font>
      <b val="1"/>
      <color rgb="002d3748"/>
      <sz val="11"/>
    </font>
    <font>
      <color rgb="00c53030"/>
      <sz val="11"/>
    </font>
    <font>
      <b val="1"/>
      <color rgb="00FFFFFF"/>
      <sz val="12"/>
    </font>
    <font>
      <b val="1"/>
      <color rgb="001a1a2e"/>
      <sz val="14"/>
    </font>
    <font>
      <b val="1"/>
      <color rgb="00FFFFFF"/>
      <sz val="10"/>
    </font>
    <font>
      <b val="1"/>
      <color rgb="00000000"/>
      <sz val="11"/>
    </font>
    <font>
      <b val="1"/>
      <color rgb="00276749"/>
      <sz val="11"/>
    </font>
    <font>
      <b val="1"/>
      <color rgb="001a1a2e"/>
      <sz val="13"/>
    </font>
    <font>
      <i val="1"/>
      <color rgb="00718096"/>
      <sz val="11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d3748"/>
      </patternFill>
    </fill>
    <fill>
      <patternFill patternType="solid">
        <fgColor rgb="00e2e8f0"/>
      </patternFill>
    </fill>
    <fill>
      <patternFill patternType="solid">
        <fgColor rgb="000f3460"/>
      </patternFill>
    </fill>
    <fill>
      <patternFill patternType="solid">
        <fgColor rgb="00c6f6d5"/>
      </patternFill>
    </fill>
    <fill>
      <patternFill patternType="solid">
        <fgColor rgb="00FFF9C4"/>
      </patternFill>
    </fill>
    <fill>
      <patternFill patternType="solid">
        <fgColor rgb="00FFFDE7"/>
      </patternFill>
    </fill>
  </fills>
  <borders count="4">
    <border>
      <left/>
      <right/>
      <top/>
      <bottom/>
      <diagonal/>
    </border>
    <border>
      <bottom style="medium">
        <color rgb="004FC3F7"/>
      </bottom>
    </border>
    <border>
      <bottom style="thin">
        <color rgb="00CBD5E0"/>
      </bottom>
    </border>
    <border>
      <right style="thin">
        <color rgb="00CBD5E0"/>
      </right>
      <bottom style="thin">
        <color rgb="00CBD5E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166" fontId="7" fillId="4" borderId="0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165" fontId="8" fillId="0" borderId="2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4" fontId="9" fillId="5" borderId="0" applyAlignment="1" pivotButton="0" quotePrefix="0" xfId="0">
      <alignment horizontal="right" vertical="center"/>
    </xf>
    <xf numFmtId="165" fontId="9" fillId="5" borderId="0" applyAlignment="1" pivotButton="0" quotePrefix="0" xfId="0">
      <alignment horizontal="right" vertical="center"/>
    </xf>
    <xf numFmtId="166" fontId="9" fillId="5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7" fontId="0" fillId="0" borderId="2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167" fontId="12" fillId="4" borderId="2" applyAlignment="1" pivotButton="0" quotePrefix="0" xfId="0">
      <alignment horizontal="right" vertical="center"/>
    </xf>
    <xf numFmtId="167" fontId="1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7" fontId="3" fillId="5" borderId="0" applyAlignment="1" pivotButton="0" quotePrefix="0" xfId="0">
      <alignment horizontal="right" vertical="center"/>
    </xf>
    <xf numFmtId="167" fontId="13" fillId="6" borderId="2" applyAlignment="1" pivotButton="0" quotePrefix="0" xfId="0">
      <alignment horizontal="right" vertical="center"/>
    </xf>
    <xf numFmtId="167" fontId="13" fillId="6" borderId="0" applyAlignment="1" pivotButton="0" quotePrefix="0" xfId="0">
      <alignment horizontal="right" vertical="center"/>
    </xf>
    <xf numFmtId="0" fontId="14" fillId="7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7" fontId="0" fillId="8" borderId="3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10" customHeight="1"/>
    <row r="2">
      <c r="A2" s="1" t="inlineStr">
        <is>
          <t>SHK Musterbetrieb GmbH</t>
        </is>
      </c>
    </row>
    <row r="3">
      <c r="A3" s="2" t="inlineStr">
        <is>
          <t>Gewinn- und Verlustrechnung 2025 vs. 2024</t>
        </is>
      </c>
    </row>
    <row r="4" ht="8" customHeight="1"/>
    <row r="5" ht="22" customHeight="1">
      <c r="A5" s="3" t="inlineStr">
        <is>
          <t>Position</t>
        </is>
      </c>
      <c r="B5" s="4" t="inlineStr">
        <is>
          <t>2025</t>
        </is>
      </c>
      <c r="C5" s="4" t="inlineStr">
        <is>
          <t>2024</t>
        </is>
      </c>
      <c r="D5" s="4" t="inlineStr">
        <is>
          <t>Abw. absolut</t>
        </is>
      </c>
      <c r="E5" s="4" t="inlineStr">
        <is>
          <t>Abw. %</t>
        </is>
      </c>
      <c r="F5" s="4" t="inlineStr">
        <is>
          <t>Anteil Umsatz 2025</t>
        </is>
      </c>
    </row>
    <row r="6" ht="16" customHeight="1">
      <c r="A6" s="5" t="inlineStr">
        <is>
          <t xml:space="preserve">  UMSATZERLÖSE</t>
        </is>
      </c>
    </row>
    <row r="7" ht="18" customHeight="1">
      <c r="A7" s="6" t="inlineStr">
        <is>
          <t xml:space="preserve">    Sanitär (Installation &amp; Reparatur)</t>
        </is>
      </c>
      <c r="B7" s="7" t="n">
        <v>278200</v>
      </c>
      <c r="C7" s="7" t="n">
        <v>249800</v>
      </c>
      <c r="D7" s="8" t="n">
        <v>28400</v>
      </c>
      <c r="E7" s="9" t="n">
        <v>0.1136909527622098</v>
      </c>
      <c r="F7" s="10" t="n">
        <v>0.4409573624980186</v>
      </c>
    </row>
    <row r="8" ht="18" customHeight="1">
      <c r="A8" s="6" t="inlineStr">
        <is>
          <t xml:space="preserve">    Heizung (Installation &amp; Reparatur)</t>
        </is>
      </c>
      <c r="B8" s="7" t="n">
        <v>202000</v>
      </c>
      <c r="C8" s="7" t="n">
        <v>186000</v>
      </c>
      <c r="D8" s="8" t="n">
        <v>16000</v>
      </c>
      <c r="E8" s="9" t="n">
        <v>0.08602150537634409</v>
      </c>
      <c r="F8" s="10" t="n">
        <v>0.3201775241718181</v>
      </c>
    </row>
    <row r="9" ht="18" customHeight="1">
      <c r="A9" s="6" t="inlineStr">
        <is>
          <t xml:space="preserve">    Klimaanlagen</t>
        </is>
      </c>
      <c r="B9" s="7" t="n">
        <v>73700</v>
      </c>
      <c r="C9" s="7" t="n">
        <v>64300</v>
      </c>
      <c r="D9" s="8" t="n">
        <v>9400</v>
      </c>
      <c r="E9" s="9" t="n">
        <v>0.1461897356143079</v>
      </c>
      <c r="F9" s="10" t="n">
        <v>0.1168172452052623</v>
      </c>
    </row>
    <row r="10" ht="18" customHeight="1">
      <c r="A10" s="6" t="inlineStr">
        <is>
          <t xml:space="preserve">    Wartungsverträge</t>
        </is>
      </c>
      <c r="B10" s="7" t="n">
        <v>54000</v>
      </c>
      <c r="C10" s="7" t="n">
        <v>48000</v>
      </c>
      <c r="D10" s="8" t="n">
        <v>6000</v>
      </c>
      <c r="E10" s="9" t="n">
        <v>0.125</v>
      </c>
      <c r="F10" s="10" t="n">
        <v>0.08559201141226819</v>
      </c>
    </row>
    <row r="11" ht="18" customHeight="1">
      <c r="A11" s="6" t="inlineStr">
        <is>
          <t xml:space="preserve">    Notdienst</t>
        </is>
      </c>
      <c r="B11" s="7" t="n">
        <v>23000</v>
      </c>
      <c r="C11" s="7" t="n">
        <v>20900</v>
      </c>
      <c r="D11" s="8" t="n">
        <v>2100</v>
      </c>
      <c r="E11" s="9" t="n">
        <v>0.1004784688995215</v>
      </c>
      <c r="F11" s="10" t="n">
        <v>0.03645585671263275</v>
      </c>
    </row>
    <row r="12" ht="18" customHeight="1">
      <c r="A12" s="11">
        <f> GESAMTUMSATZ</f>
        <v/>
      </c>
      <c r="B12" s="12" t="n">
        <v>630900</v>
      </c>
      <c r="C12" s="12" t="n">
        <v>569000</v>
      </c>
      <c r="D12" s="12" t="n">
        <v>61900</v>
      </c>
      <c r="E12" s="13" t="n">
        <v>0.1087873462214411</v>
      </c>
      <c r="F12" s="14" t="n">
        <v>1</v>
      </c>
    </row>
    <row r="13" ht="16" customHeight="1">
      <c r="A13" s="5" t="inlineStr">
        <is>
          <t xml:space="preserve">  MATERIALAUFWAND</t>
        </is>
      </c>
    </row>
    <row r="14" ht="18" customHeight="1">
      <c r="A14" s="6" t="inlineStr">
        <is>
          <t xml:space="preserve">    Material &amp; Wareneinsatz</t>
        </is>
      </c>
      <c r="B14" s="7" t="n">
        <v>-229600</v>
      </c>
      <c r="C14" s="7" t="n">
        <v>-207800</v>
      </c>
      <c r="D14" s="15" t="n">
        <v>-21800</v>
      </c>
      <c r="E14" s="16" t="n">
        <v>-0.1049085659287777</v>
      </c>
      <c r="F14" s="10" t="n">
        <v>-0.3639245522269773</v>
      </c>
    </row>
    <row r="15" ht="18" customHeight="1">
      <c r="A15" s="11">
        <f> ROHERTRAG (Bruttogewinn)</f>
        <v/>
      </c>
      <c r="B15" s="12" t="n">
        <v>401300</v>
      </c>
      <c r="C15" s="12" t="n">
        <v>361200</v>
      </c>
      <c r="D15" s="12" t="n">
        <v>40100</v>
      </c>
      <c r="E15" s="13" t="n">
        <v>0.1110188261351052</v>
      </c>
      <c r="F15" s="14" t="n">
        <v>0.6360754477730227</v>
      </c>
    </row>
    <row r="16" ht="16" customHeight="1">
      <c r="A16" s="5" t="inlineStr">
        <is>
          <t xml:space="preserve">  BETRIEBSAUFWAND</t>
        </is>
      </c>
    </row>
    <row r="17" ht="18" customHeight="1">
      <c r="A17" s="6" t="inlineStr">
        <is>
          <t xml:space="preserve">    Personalkosten (inkl. Sozialversicherung)</t>
        </is>
      </c>
      <c r="B17" s="7" t="n">
        <v>-222000</v>
      </c>
      <c r="C17" s="7" t="n">
        <v>-210000</v>
      </c>
      <c r="D17" s="15" t="n">
        <v>-12000</v>
      </c>
      <c r="E17" s="16" t="n">
        <v>-0.05714285714285714</v>
      </c>
      <c r="F17" s="10" t="n">
        <v>-0.3518782691393249</v>
      </c>
    </row>
    <row r="18" ht="18" customHeight="1">
      <c r="A18" s="6" t="inlineStr">
        <is>
          <t xml:space="preserve">    Fahrzeugkosten (Leasing/Kraftstoff)</t>
        </is>
      </c>
      <c r="B18" s="7" t="n">
        <v>-33600</v>
      </c>
      <c r="C18" s="7" t="n">
        <v>-31200</v>
      </c>
      <c r="D18" s="15" t="n">
        <v>-2400</v>
      </c>
      <c r="E18" s="16" t="n">
        <v>-0.07692307692307693</v>
      </c>
      <c r="F18" s="10" t="n">
        <v>-0.05325725154541132</v>
      </c>
    </row>
    <row r="19" ht="18" customHeight="1">
      <c r="A19" s="6" t="inlineStr">
        <is>
          <t xml:space="preserve">    Werkzeug &amp; Maschinen</t>
        </is>
      </c>
      <c r="B19" s="7" t="n">
        <v>-6300</v>
      </c>
      <c r="C19" s="7" t="n">
        <v>-5450</v>
      </c>
      <c r="D19" s="15" t="n">
        <v>-850</v>
      </c>
      <c r="E19" s="16" t="n">
        <v>-0.1559633027522936</v>
      </c>
      <c r="F19" s="10" t="n">
        <v>-0.009985734664764621</v>
      </c>
    </row>
    <row r="20" ht="18" customHeight="1">
      <c r="A20" s="6" t="inlineStr">
        <is>
          <t xml:space="preserve">    Büro &amp; Verwaltung</t>
        </is>
      </c>
      <c r="B20" s="7" t="n">
        <v>-14400</v>
      </c>
      <c r="C20" s="7" t="n">
        <v>-13200</v>
      </c>
      <c r="D20" s="15" t="n">
        <v>-1200</v>
      </c>
      <c r="E20" s="16" t="n">
        <v>-0.09090909090909091</v>
      </c>
      <c r="F20" s="10" t="n">
        <v>-0.02282453637660485</v>
      </c>
    </row>
    <row r="21" ht="18" customHeight="1">
      <c r="A21" s="6" t="inlineStr">
        <is>
          <t xml:space="preserve">    Software &amp; Tools</t>
        </is>
      </c>
      <c r="B21" s="7" t="n">
        <v>-4200</v>
      </c>
      <c r="C21" s="7" t="n">
        <v>-3600</v>
      </c>
      <c r="D21" s="15" t="n">
        <v>-600</v>
      </c>
      <c r="E21" s="16" t="n">
        <v>-0.1666666666666666</v>
      </c>
      <c r="F21" s="10" t="n">
        <v>-0.006657156443176415</v>
      </c>
    </row>
    <row r="22" ht="18" customHeight="1">
      <c r="A22" s="6" t="inlineStr">
        <is>
          <t xml:space="preserve">    Versicherungen</t>
        </is>
      </c>
      <c r="B22" s="7" t="n">
        <v>-4400</v>
      </c>
      <c r="C22" s="7" t="n">
        <v>-4000</v>
      </c>
      <c r="D22" s="15" t="n">
        <v>-400</v>
      </c>
      <c r="E22" s="16" t="n">
        <v>-0.1</v>
      </c>
      <c r="F22" s="10" t="n">
        <v>-0.006974163892851482</v>
      </c>
    </row>
    <row r="23" ht="18" customHeight="1">
      <c r="A23" s="6" t="inlineStr">
        <is>
          <t xml:space="preserve">    Steuerberater / Rechtsberatung</t>
        </is>
      </c>
      <c r="B23" s="7" t="n">
        <v>-3200</v>
      </c>
      <c r="C23" s="7" t="n">
        <v>-3000</v>
      </c>
      <c r="D23" s="15" t="n">
        <v>-200</v>
      </c>
      <c r="E23" s="16" t="n">
        <v>-0.06666666666666667</v>
      </c>
      <c r="F23" s="10" t="n">
        <v>-0.005072119194801078</v>
      </c>
    </row>
    <row r="24" ht="18" customHeight="1">
      <c r="A24" s="6" t="inlineStr">
        <is>
          <t xml:space="preserve">    Marketing &amp; Werbung</t>
        </is>
      </c>
      <c r="B24" s="7" t="n">
        <v>-5400</v>
      </c>
      <c r="C24" s="7" t="n">
        <v>-4800</v>
      </c>
      <c r="D24" s="15" t="n">
        <v>-600</v>
      </c>
      <c r="E24" s="16" t="n">
        <v>-0.125</v>
      </c>
      <c r="F24" s="10" t="n">
        <v>-0.008559201141226819</v>
      </c>
    </row>
    <row r="25" ht="18" customHeight="1">
      <c r="A25" s="6" t="inlineStr">
        <is>
          <t xml:space="preserve">    Sonstige Betriebsausgaben</t>
        </is>
      </c>
      <c r="B25" s="7" t="n">
        <v>-9150</v>
      </c>
      <c r="C25" s="7" t="n">
        <v>-8160</v>
      </c>
      <c r="D25" s="15" t="n">
        <v>-990</v>
      </c>
      <c r="E25" s="16" t="n">
        <v>-0.1213235294117647</v>
      </c>
      <c r="F25" s="10" t="n">
        <v>-0.01450309082263433</v>
      </c>
    </row>
    <row r="26" ht="18" customHeight="1">
      <c r="A26" s="11">
        <f> GESAMT BETRIEBSAUFWAND</f>
        <v/>
      </c>
      <c r="B26" s="12" t="n">
        <v>-302650</v>
      </c>
      <c r="C26" s="12" t="n">
        <v>-283410</v>
      </c>
      <c r="D26" s="12" t="n">
        <v>-19240</v>
      </c>
      <c r="E26" s="13" t="n">
        <v>-0.06788751279065665</v>
      </c>
      <c r="F26" s="14" t="n">
        <v>-0.4797115232207957</v>
      </c>
    </row>
    <row r="27" ht="18" customHeight="1">
      <c r="A27" s="17">
        <f> EBIT (Betriebsergebnis)</f>
        <v/>
      </c>
      <c r="B27" s="18" t="n">
        <v>98650</v>
      </c>
      <c r="C27" s="18" t="n">
        <v>77790</v>
      </c>
      <c r="D27" s="18" t="n">
        <v>20860</v>
      </c>
      <c r="E27" s="19" t="n">
        <v>0.2681578609075717</v>
      </c>
      <c r="F27" s="20" t="n">
        <v>0.156363924552227</v>
      </c>
    </row>
    <row r="28" ht="16" customHeight="1">
      <c r="A28" s="5" t="inlineStr">
        <is>
          <t xml:space="preserve">  FINANZERGEBNIS &amp; STEUERN</t>
        </is>
      </c>
    </row>
    <row r="29" ht="18" customHeight="1">
      <c r="A29" s="6" t="inlineStr">
        <is>
          <t xml:space="preserve">    Zinsaufwand (Kredite/Leasing)</t>
        </is>
      </c>
      <c r="B29" s="7" t="n">
        <v>-7800</v>
      </c>
      <c r="C29" s="7" t="n">
        <v>-9000</v>
      </c>
      <c r="D29" s="8" t="n">
        <v>1200</v>
      </c>
      <c r="E29" s="9" t="n">
        <v>0.1333333333333333</v>
      </c>
      <c r="F29" s="10" t="n">
        <v>-0.01236329053732763</v>
      </c>
    </row>
    <row r="30" ht="18" customHeight="1">
      <c r="A30" s="11">
        <f> EBT (Ergebnis vor Steuern)</f>
        <v/>
      </c>
      <c r="B30" s="12" t="n">
        <v>90850</v>
      </c>
      <c r="C30" s="12" t="n">
        <v>68790</v>
      </c>
      <c r="D30" s="12" t="n">
        <v>22060</v>
      </c>
      <c r="E30" s="13" t="n">
        <v>0.3206861462421864</v>
      </c>
      <c r="F30" s="14" t="n">
        <v>0.1440006340148993</v>
      </c>
    </row>
    <row r="31" ht="18" customHeight="1">
      <c r="A31" s="6" t="inlineStr">
        <is>
          <t xml:space="preserve">    Gewerbesteuer &amp; Einkommensteuer</t>
        </is>
      </c>
      <c r="B31" s="7" t="n">
        <v>-7000</v>
      </c>
      <c r="C31" s="7" t="n">
        <v>-6000</v>
      </c>
      <c r="D31" s="15" t="n">
        <v>-1000</v>
      </c>
      <c r="E31" s="16" t="n">
        <v>-0.1666666666666666</v>
      </c>
      <c r="F31" s="10" t="n">
        <v>-0.01109526073862736</v>
      </c>
    </row>
    <row r="32" ht="18" customHeight="1">
      <c r="A32" s="17">
        <f> JAHRESÜBERSCHUSS / -FEHLBETRAG</f>
        <v/>
      </c>
      <c r="B32" s="18" t="n">
        <v>83850</v>
      </c>
      <c r="C32" s="18" t="n">
        <v>62790</v>
      </c>
      <c r="D32" s="18" t="n">
        <v>21060</v>
      </c>
      <c r="E32" s="19" t="n">
        <v>0.3354037267080746</v>
      </c>
      <c r="F32" s="20" t="n">
        <v>0.132905373276272</v>
      </c>
    </row>
  </sheetData>
  <mergeCells count="6">
    <mergeCell ref="A2:F2"/>
    <mergeCell ref="A16:F16"/>
    <mergeCell ref="A28:F28"/>
    <mergeCell ref="A13:F13"/>
    <mergeCell ref="A6:F6"/>
    <mergeCell ref="A3:F3"/>
  </mergeCells>
  <conditionalFormatting sqref="B3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24" customHeight="1">
      <c r="A1" s="21" t="inlineStr">
        <is>
          <t>SHK Musterbetrieb GmbH – Monatliche GuV 2025</t>
        </is>
      </c>
    </row>
    <row r="3" ht="20" customHeight="1">
      <c r="A3" s="22" t="inlineStr">
        <is>
          <t>Position</t>
        </is>
      </c>
      <c r="B3" s="23" t="inlineStr">
        <is>
          <t>Jan</t>
        </is>
      </c>
      <c r="C3" s="23" t="inlineStr">
        <is>
          <t>Feb</t>
        </is>
      </c>
      <c r="D3" s="23" t="inlineStr">
        <is>
          <t>Mär</t>
        </is>
      </c>
      <c r="E3" s="23" t="inlineStr">
        <is>
          <t>Apr</t>
        </is>
      </c>
      <c r="F3" s="23" t="inlineStr">
        <is>
          <t>Mai</t>
        </is>
      </c>
      <c r="G3" s="23" t="inlineStr">
        <is>
          <t>Jun</t>
        </is>
      </c>
      <c r="H3" s="23" t="inlineStr">
        <is>
          <t>Jul</t>
        </is>
      </c>
      <c r="I3" s="23" t="inlineStr">
        <is>
          <t>Aug</t>
        </is>
      </c>
      <c r="J3" s="23" t="inlineStr">
        <is>
          <t>Sep</t>
        </is>
      </c>
      <c r="K3" s="23" t="inlineStr">
        <is>
          <t>Okt</t>
        </is>
      </c>
      <c r="L3" s="23" t="inlineStr">
        <is>
          <t>Nov</t>
        </is>
      </c>
      <c r="M3" s="23" t="inlineStr">
        <is>
          <t>Dez</t>
        </is>
      </c>
      <c r="N3" s="24" t="inlineStr">
        <is>
          <t>Gesamt</t>
        </is>
      </c>
    </row>
    <row r="4" ht="16" customHeight="1">
      <c r="A4" s="25" t="inlineStr">
        <is>
          <t xml:space="preserve">  UMSATZERLÖSE</t>
        </is>
      </c>
    </row>
    <row r="5" ht="17" customHeight="1">
      <c r="A5" s="26" t="inlineStr">
        <is>
          <t>Sanitär</t>
        </is>
      </c>
      <c r="B5" s="27" t="n">
        <v>18500</v>
      </c>
      <c r="C5" s="27" t="n">
        <v>16200</v>
      </c>
      <c r="D5" s="27" t="n">
        <v>22000</v>
      </c>
      <c r="E5" s="27" t="n">
        <v>24500</v>
      </c>
      <c r="F5" s="27" t="n">
        <v>26000</v>
      </c>
      <c r="G5" s="27" t="n">
        <v>28500</v>
      </c>
      <c r="H5" s="27" t="n">
        <v>29000</v>
      </c>
      <c r="I5" s="27" t="n">
        <v>27000</v>
      </c>
      <c r="J5" s="27" t="n">
        <v>25500</v>
      </c>
      <c r="K5" s="27" t="n">
        <v>23000</v>
      </c>
      <c r="L5" s="27" t="n">
        <v>20000</v>
      </c>
      <c r="M5" s="27" t="n">
        <v>18000</v>
      </c>
      <c r="N5" s="28" t="n">
        <v>278200</v>
      </c>
    </row>
    <row r="6" ht="17" customHeight="1">
      <c r="A6" s="26" t="inlineStr">
        <is>
          <t>Heizung</t>
        </is>
      </c>
      <c r="B6" s="27" t="n">
        <v>22000</v>
      </c>
      <c r="C6" s="27" t="n">
        <v>19500</v>
      </c>
      <c r="D6" s="27" t="n">
        <v>18000</v>
      </c>
      <c r="E6" s="27" t="n">
        <v>14000</v>
      </c>
      <c r="F6" s="27" t="n">
        <v>12000</v>
      </c>
      <c r="G6" s="27" t="n">
        <v>10500</v>
      </c>
      <c r="H6" s="27" t="n">
        <v>11000</v>
      </c>
      <c r="I6" s="27" t="n">
        <v>12500</v>
      </c>
      <c r="J6" s="27" t="n">
        <v>16000</v>
      </c>
      <c r="K6" s="27" t="n">
        <v>20500</v>
      </c>
      <c r="L6" s="27" t="n">
        <v>22000</v>
      </c>
      <c r="M6" s="27" t="n">
        <v>24000</v>
      </c>
      <c r="N6" s="28" t="n">
        <v>202000</v>
      </c>
    </row>
    <row r="7" ht="17" customHeight="1">
      <c r="A7" s="26" t="inlineStr">
        <is>
          <t>Klimaanlagen</t>
        </is>
      </c>
      <c r="B7" s="27" t="n">
        <v>2000</v>
      </c>
      <c r="C7" s="27" t="n">
        <v>2200</v>
      </c>
      <c r="D7" s="27" t="n">
        <v>3500</v>
      </c>
      <c r="E7" s="27" t="n">
        <v>5500</v>
      </c>
      <c r="F7" s="27" t="n">
        <v>8000</v>
      </c>
      <c r="G7" s="27" t="n">
        <v>11000</v>
      </c>
      <c r="H7" s="27" t="n">
        <v>13500</v>
      </c>
      <c r="I7" s="27" t="n">
        <v>12000</v>
      </c>
      <c r="J7" s="27" t="n">
        <v>7500</v>
      </c>
      <c r="K7" s="27" t="n">
        <v>4000</v>
      </c>
      <c r="L7" s="27" t="n">
        <v>2500</v>
      </c>
      <c r="M7" s="27" t="n">
        <v>2000</v>
      </c>
      <c r="N7" s="28" t="n">
        <v>73700</v>
      </c>
    </row>
    <row r="8" ht="17" customHeight="1">
      <c r="A8" s="26" t="inlineStr">
        <is>
          <t>Wartungsverträge</t>
        </is>
      </c>
      <c r="B8" s="27" t="n">
        <v>4500</v>
      </c>
      <c r="C8" s="27" t="n">
        <v>4500</v>
      </c>
      <c r="D8" s="27" t="n">
        <v>4500</v>
      </c>
      <c r="E8" s="27" t="n">
        <v>4500</v>
      </c>
      <c r="F8" s="27" t="n">
        <v>4500</v>
      </c>
      <c r="G8" s="27" t="n">
        <v>4500</v>
      </c>
      <c r="H8" s="27" t="n">
        <v>4500</v>
      </c>
      <c r="I8" s="27" t="n">
        <v>4500</v>
      </c>
      <c r="J8" s="27" t="n">
        <v>4500</v>
      </c>
      <c r="K8" s="27" t="n">
        <v>4500</v>
      </c>
      <c r="L8" s="27" t="n">
        <v>4500</v>
      </c>
      <c r="M8" s="27" t="n">
        <v>4500</v>
      </c>
      <c r="N8" s="28" t="n">
        <v>54000</v>
      </c>
    </row>
    <row r="9" ht="17" customHeight="1">
      <c r="A9" s="26" t="inlineStr">
        <is>
          <t>Notdienst</t>
        </is>
      </c>
      <c r="B9" s="27" t="n">
        <v>2500</v>
      </c>
      <c r="C9" s="27" t="n">
        <v>2200</v>
      </c>
      <c r="D9" s="27" t="n">
        <v>1800</v>
      </c>
      <c r="E9" s="27" t="n">
        <v>1500</v>
      </c>
      <c r="F9" s="27" t="n">
        <v>1500</v>
      </c>
      <c r="G9" s="27" t="n">
        <v>1600</v>
      </c>
      <c r="H9" s="27" t="n">
        <v>1800</v>
      </c>
      <c r="I9" s="27" t="n">
        <v>1700</v>
      </c>
      <c r="J9" s="27" t="n">
        <v>1600</v>
      </c>
      <c r="K9" s="27" t="n">
        <v>1800</v>
      </c>
      <c r="L9" s="27" t="n">
        <v>2200</v>
      </c>
      <c r="M9" s="27" t="n">
        <v>2800</v>
      </c>
      <c r="N9" s="28" t="n">
        <v>23000</v>
      </c>
    </row>
    <row r="10" ht="17" customHeight="1">
      <c r="A10" s="29">
        <f> GESAMTUMSATZ</f>
        <v/>
      </c>
      <c r="B10" s="30" t="n">
        <v>49500</v>
      </c>
      <c r="C10" s="30" t="n">
        <v>44600</v>
      </c>
      <c r="D10" s="30" t="n">
        <v>49800</v>
      </c>
      <c r="E10" s="30" t="n">
        <v>50000</v>
      </c>
      <c r="F10" s="30" t="n">
        <v>52000</v>
      </c>
      <c r="G10" s="30" t="n">
        <v>56100</v>
      </c>
      <c r="H10" s="30" t="n">
        <v>59800</v>
      </c>
      <c r="I10" s="30" t="n">
        <v>57700</v>
      </c>
      <c r="J10" s="30" t="n">
        <v>55100</v>
      </c>
      <c r="K10" s="30" t="n">
        <v>53800</v>
      </c>
      <c r="L10" s="30" t="n">
        <v>51200</v>
      </c>
      <c r="M10" s="30" t="n">
        <v>51300</v>
      </c>
      <c r="N10" s="31" t="n">
        <v>630900</v>
      </c>
    </row>
    <row r="11" ht="16" customHeight="1">
      <c r="A11" s="25" t="inlineStr">
        <is>
          <t xml:space="preserve">  MATERIALAUFWAND</t>
        </is>
      </c>
    </row>
    <row r="12" ht="17" customHeight="1">
      <c r="A12" s="26" t="inlineStr">
        <is>
          <t>Material &amp; Wareneinsatz</t>
        </is>
      </c>
      <c r="B12" s="27" t="n">
        <v>-19800</v>
      </c>
      <c r="C12" s="27" t="n">
        <v>-17500</v>
      </c>
      <c r="D12" s="27" t="n">
        <v>-18200</v>
      </c>
      <c r="E12" s="27" t="n">
        <v>-18800</v>
      </c>
      <c r="F12" s="27" t="n">
        <v>-19600</v>
      </c>
      <c r="G12" s="27" t="n">
        <v>-20500</v>
      </c>
      <c r="H12" s="27" t="n">
        <v>-21200</v>
      </c>
      <c r="I12" s="27" t="n">
        <v>-19800</v>
      </c>
      <c r="J12" s="27" t="n">
        <v>-18400</v>
      </c>
      <c r="K12" s="27" t="n">
        <v>-18200</v>
      </c>
      <c r="L12" s="27" t="n">
        <v>-18400</v>
      </c>
      <c r="M12" s="27" t="n">
        <v>-19200</v>
      </c>
      <c r="N12" s="28" t="n">
        <v>-229600</v>
      </c>
    </row>
    <row r="13" ht="17" customHeight="1">
      <c r="A13" s="29">
        <f> ROHERTRAG</f>
        <v/>
      </c>
      <c r="B13" s="30" t="n">
        <v>29700</v>
      </c>
      <c r="C13" s="30" t="n">
        <v>27100</v>
      </c>
      <c r="D13" s="30" t="n">
        <v>31600</v>
      </c>
      <c r="E13" s="30" t="n">
        <v>31200</v>
      </c>
      <c r="F13" s="30" t="n">
        <v>32400</v>
      </c>
      <c r="G13" s="30" t="n">
        <v>35600</v>
      </c>
      <c r="H13" s="30" t="n">
        <v>38600</v>
      </c>
      <c r="I13" s="30" t="n">
        <v>37900</v>
      </c>
      <c r="J13" s="30" t="n">
        <v>36700</v>
      </c>
      <c r="K13" s="30" t="n">
        <v>35600</v>
      </c>
      <c r="L13" s="30" t="n">
        <v>32800</v>
      </c>
      <c r="M13" s="30" t="n">
        <v>32100</v>
      </c>
      <c r="N13" s="31" t="n">
        <v>401300</v>
      </c>
    </row>
    <row r="14" ht="16" customHeight="1">
      <c r="A14" s="25" t="inlineStr">
        <is>
          <t xml:space="preserve">  BETRIEBSAUFWAND</t>
        </is>
      </c>
    </row>
    <row r="15" ht="17" customHeight="1">
      <c r="A15" s="26" t="inlineStr">
        <is>
          <t>Personal</t>
        </is>
      </c>
      <c r="B15" s="27" t="n">
        <v>-18500</v>
      </c>
      <c r="C15" s="27" t="n">
        <v>-18500</v>
      </c>
      <c r="D15" s="27" t="n">
        <v>-18500</v>
      </c>
      <c r="E15" s="27" t="n">
        <v>-18500</v>
      </c>
      <c r="F15" s="27" t="n">
        <v>-18500</v>
      </c>
      <c r="G15" s="27" t="n">
        <v>-18500</v>
      </c>
      <c r="H15" s="27" t="n">
        <v>-18500</v>
      </c>
      <c r="I15" s="27" t="n">
        <v>-18500</v>
      </c>
      <c r="J15" s="27" t="n">
        <v>-18500</v>
      </c>
      <c r="K15" s="27" t="n">
        <v>-18500</v>
      </c>
      <c r="L15" s="27" t="n">
        <v>-18500</v>
      </c>
      <c r="M15" s="27" t="n">
        <v>-18500</v>
      </c>
      <c r="N15" s="28" t="n">
        <v>-222000</v>
      </c>
    </row>
    <row r="16" ht="17" customHeight="1">
      <c r="A16" s="26" t="inlineStr">
        <is>
          <t>Fahrzeuge</t>
        </is>
      </c>
      <c r="B16" s="27" t="n">
        <v>-2800</v>
      </c>
      <c r="C16" s="27" t="n">
        <v>-2800</v>
      </c>
      <c r="D16" s="27" t="n">
        <v>-2800</v>
      </c>
      <c r="E16" s="27" t="n">
        <v>-2800</v>
      </c>
      <c r="F16" s="27" t="n">
        <v>-2800</v>
      </c>
      <c r="G16" s="27" t="n">
        <v>-2800</v>
      </c>
      <c r="H16" s="27" t="n">
        <v>-2800</v>
      </c>
      <c r="I16" s="27" t="n">
        <v>-2800</v>
      </c>
      <c r="J16" s="27" t="n">
        <v>-2800</v>
      </c>
      <c r="K16" s="27" t="n">
        <v>-2800</v>
      </c>
      <c r="L16" s="27" t="n">
        <v>-2800</v>
      </c>
      <c r="M16" s="27" t="n">
        <v>-2800</v>
      </c>
      <c r="N16" s="28" t="n">
        <v>-33600</v>
      </c>
    </row>
    <row r="17" ht="17" customHeight="1">
      <c r="A17" s="26" t="inlineStr">
        <is>
          <t>Werkzeug</t>
        </is>
      </c>
      <c r="B17" s="27" t="n">
        <v>-600</v>
      </c>
      <c r="C17" s="27" t="n">
        <v>-300</v>
      </c>
      <c r="D17" s="27" t="n">
        <v>-800</v>
      </c>
      <c r="E17" s="27" t="n">
        <v>-400</v>
      </c>
      <c r="F17" s="27" t="n">
        <v>-500</v>
      </c>
      <c r="G17" s="27" t="n">
        <v>-700</v>
      </c>
      <c r="H17" s="27" t="n">
        <v>-600</v>
      </c>
      <c r="I17" s="27" t="n">
        <v>-400</v>
      </c>
      <c r="J17" s="27" t="n">
        <v>-300</v>
      </c>
      <c r="K17" s="27" t="n">
        <v>-500</v>
      </c>
      <c r="L17" s="27" t="n">
        <v>-400</v>
      </c>
      <c r="M17" s="27" t="n">
        <v>-800</v>
      </c>
      <c r="N17" s="28" t="n">
        <v>-6300</v>
      </c>
    </row>
    <row r="18" ht="17" customHeight="1">
      <c r="A18" s="26" t="inlineStr">
        <is>
          <t>Büro</t>
        </is>
      </c>
      <c r="B18" s="27" t="n">
        <v>-1200</v>
      </c>
      <c r="C18" s="27" t="n">
        <v>-1200</v>
      </c>
      <c r="D18" s="27" t="n">
        <v>-1200</v>
      </c>
      <c r="E18" s="27" t="n">
        <v>-1200</v>
      </c>
      <c r="F18" s="27" t="n">
        <v>-1200</v>
      </c>
      <c r="G18" s="27" t="n">
        <v>-1200</v>
      </c>
      <c r="H18" s="27" t="n">
        <v>-1200</v>
      </c>
      <c r="I18" s="27" t="n">
        <v>-1200</v>
      </c>
      <c r="J18" s="27" t="n">
        <v>-1200</v>
      </c>
      <c r="K18" s="27" t="n">
        <v>-1200</v>
      </c>
      <c r="L18" s="27" t="n">
        <v>-1200</v>
      </c>
      <c r="M18" s="27" t="n">
        <v>-1200</v>
      </c>
      <c r="N18" s="28" t="n">
        <v>-14400</v>
      </c>
    </row>
    <row r="19" ht="17" customHeight="1">
      <c r="A19" s="26" t="inlineStr">
        <is>
          <t>Software</t>
        </is>
      </c>
      <c r="B19" s="27" t="n">
        <v>-350</v>
      </c>
      <c r="C19" s="27" t="n">
        <v>-350</v>
      </c>
      <c r="D19" s="27" t="n">
        <v>-350</v>
      </c>
      <c r="E19" s="27" t="n">
        <v>-350</v>
      </c>
      <c r="F19" s="27" t="n">
        <v>-350</v>
      </c>
      <c r="G19" s="27" t="n">
        <v>-350</v>
      </c>
      <c r="H19" s="27" t="n">
        <v>-350</v>
      </c>
      <c r="I19" s="27" t="n">
        <v>-350</v>
      </c>
      <c r="J19" s="27" t="n">
        <v>-350</v>
      </c>
      <c r="K19" s="27" t="n">
        <v>-350</v>
      </c>
      <c r="L19" s="27" t="n">
        <v>-350</v>
      </c>
      <c r="M19" s="27" t="n">
        <v>-350</v>
      </c>
      <c r="N19" s="28" t="n">
        <v>-4200</v>
      </c>
    </row>
    <row r="20" ht="17" customHeight="1">
      <c r="A20" s="26" t="inlineStr">
        <is>
          <t>Versicherung</t>
        </is>
      </c>
      <c r="B20" s="27" t="n">
        <v>-1100</v>
      </c>
      <c r="C20" s="27" t="n">
        <v>0</v>
      </c>
      <c r="D20" s="27" t="n">
        <v>0</v>
      </c>
      <c r="E20" s="27" t="n">
        <v>-1100</v>
      </c>
      <c r="F20" s="27" t="n">
        <v>0</v>
      </c>
      <c r="G20" s="27" t="n">
        <v>0</v>
      </c>
      <c r="H20" s="27" t="n">
        <v>-1100</v>
      </c>
      <c r="I20" s="27" t="n">
        <v>0</v>
      </c>
      <c r="J20" s="27" t="n">
        <v>0</v>
      </c>
      <c r="K20" s="27" t="n">
        <v>-1100</v>
      </c>
      <c r="L20" s="27" t="n">
        <v>0</v>
      </c>
      <c r="M20" s="27" t="n">
        <v>0</v>
      </c>
      <c r="N20" s="28" t="n">
        <v>-4400</v>
      </c>
    </row>
    <row r="21" ht="17" customHeight="1">
      <c r="A21" s="26" t="inlineStr">
        <is>
          <t>Steuerberater</t>
        </is>
      </c>
      <c r="B21" s="27" t="n">
        <v>0</v>
      </c>
      <c r="C21" s="27" t="n">
        <v>0</v>
      </c>
      <c r="D21" s="27" t="n">
        <v>-800</v>
      </c>
      <c r="E21" s="27" t="n">
        <v>0</v>
      </c>
      <c r="F21" s="27" t="n">
        <v>0</v>
      </c>
      <c r="G21" s="27" t="n">
        <v>-800</v>
      </c>
      <c r="H21" s="27" t="n">
        <v>0</v>
      </c>
      <c r="I21" s="27" t="n">
        <v>0</v>
      </c>
      <c r="J21" s="27" t="n">
        <v>-800</v>
      </c>
      <c r="K21" s="27" t="n">
        <v>0</v>
      </c>
      <c r="L21" s="27" t="n">
        <v>0</v>
      </c>
      <c r="M21" s="27" t="n">
        <v>-800</v>
      </c>
      <c r="N21" s="28" t="n">
        <v>-3200</v>
      </c>
    </row>
    <row r="22" ht="17" customHeight="1">
      <c r="A22" s="26" t="inlineStr">
        <is>
          <t>Marketing</t>
        </is>
      </c>
      <c r="B22" s="27" t="n">
        <v>-400</v>
      </c>
      <c r="C22" s="27" t="n">
        <v>-400</v>
      </c>
      <c r="D22" s="27" t="n">
        <v>-600</v>
      </c>
      <c r="E22" s="27" t="n">
        <v>-400</v>
      </c>
      <c r="F22" s="27" t="n">
        <v>-400</v>
      </c>
      <c r="G22" s="27" t="n">
        <v>-600</v>
      </c>
      <c r="H22" s="27" t="n">
        <v>-400</v>
      </c>
      <c r="I22" s="27" t="n">
        <v>-400</v>
      </c>
      <c r="J22" s="27" t="n">
        <v>-400</v>
      </c>
      <c r="K22" s="27" t="n">
        <v>-400</v>
      </c>
      <c r="L22" s="27" t="n">
        <v>-400</v>
      </c>
      <c r="M22" s="27" t="n">
        <v>-600</v>
      </c>
      <c r="N22" s="28" t="n">
        <v>-5400</v>
      </c>
    </row>
    <row r="23" ht="17" customHeight="1">
      <c r="A23" s="26" t="inlineStr">
        <is>
          <t>Sonstiges</t>
        </is>
      </c>
      <c r="B23" s="27" t="n">
        <v>-800</v>
      </c>
      <c r="C23" s="27" t="n">
        <v>-600</v>
      </c>
      <c r="D23" s="27" t="n">
        <v>-700</v>
      </c>
      <c r="E23" s="27" t="n">
        <v>-800</v>
      </c>
      <c r="F23" s="27" t="n">
        <v>-750</v>
      </c>
      <c r="G23" s="27" t="n">
        <v>-900</v>
      </c>
      <c r="H23" s="27" t="n">
        <v>-800</v>
      </c>
      <c r="I23" s="27" t="n">
        <v>-700</v>
      </c>
      <c r="J23" s="27" t="n">
        <v>-650</v>
      </c>
      <c r="K23" s="27" t="n">
        <v>-800</v>
      </c>
      <c r="L23" s="27" t="n">
        <v>-750</v>
      </c>
      <c r="M23" s="27" t="n">
        <v>-900</v>
      </c>
      <c r="N23" s="28" t="n">
        <v>-9150</v>
      </c>
    </row>
    <row r="24" ht="17" customHeight="1">
      <c r="A24" s="29">
        <f> GESAMT BETRIEBSAUFWAND</f>
        <v/>
      </c>
      <c r="B24" s="30" t="n">
        <v>-25750</v>
      </c>
      <c r="C24" s="30" t="n">
        <v>-24150</v>
      </c>
      <c r="D24" s="30" t="n">
        <v>-25750</v>
      </c>
      <c r="E24" s="30" t="n">
        <v>-25550</v>
      </c>
      <c r="F24" s="30" t="n">
        <v>-24500</v>
      </c>
      <c r="G24" s="30" t="n">
        <v>-25850</v>
      </c>
      <c r="H24" s="30" t="n">
        <v>-25750</v>
      </c>
      <c r="I24" s="30" t="n">
        <v>-24350</v>
      </c>
      <c r="J24" s="30" t="n">
        <v>-25000</v>
      </c>
      <c r="K24" s="30" t="n">
        <v>-25650</v>
      </c>
      <c r="L24" s="30" t="n">
        <v>-24400</v>
      </c>
      <c r="M24" s="30" t="n">
        <v>-25950</v>
      </c>
      <c r="N24" s="31" t="n">
        <v>-302650</v>
      </c>
    </row>
    <row r="25">
      <c r="A25" s="32">
        <f> EBIT</f>
        <v/>
      </c>
      <c r="B25" s="33" t="n">
        <v>3950</v>
      </c>
      <c r="C25" s="33" t="n">
        <v>2950</v>
      </c>
      <c r="D25" s="33" t="n">
        <v>5850</v>
      </c>
      <c r="E25" s="33" t="n">
        <v>5650</v>
      </c>
      <c r="F25" s="33" t="n">
        <v>7900</v>
      </c>
      <c r="G25" s="33" t="n">
        <v>9750</v>
      </c>
      <c r="H25" s="33" t="n">
        <v>12850</v>
      </c>
      <c r="I25" s="33" t="n">
        <v>13550</v>
      </c>
      <c r="J25" s="33" t="n">
        <v>11700</v>
      </c>
      <c r="K25" s="33" t="n">
        <v>9950</v>
      </c>
      <c r="L25" s="33" t="n">
        <v>8400</v>
      </c>
      <c r="M25" s="33" t="n">
        <v>6150</v>
      </c>
      <c r="N25" s="33" t="n">
        <v>98650</v>
      </c>
    </row>
    <row r="26" ht="16" customHeight="1">
      <c r="A26" s="25" t="inlineStr">
        <is>
          <t xml:space="preserve">  FINANZERGEBNIS &amp; STEUERN</t>
        </is>
      </c>
    </row>
    <row r="27" ht="17" customHeight="1">
      <c r="A27" s="26" t="inlineStr">
        <is>
          <t>Zinsaufwand</t>
        </is>
      </c>
      <c r="B27" s="27" t="n">
        <v>-650</v>
      </c>
      <c r="C27" s="27" t="n">
        <v>-650</v>
      </c>
      <c r="D27" s="27" t="n">
        <v>-650</v>
      </c>
      <c r="E27" s="27" t="n">
        <v>-650</v>
      </c>
      <c r="F27" s="27" t="n">
        <v>-650</v>
      </c>
      <c r="G27" s="27" t="n">
        <v>-650</v>
      </c>
      <c r="H27" s="27" t="n">
        <v>-650</v>
      </c>
      <c r="I27" s="27" t="n">
        <v>-650</v>
      </c>
      <c r="J27" s="27" t="n">
        <v>-650</v>
      </c>
      <c r="K27" s="27" t="n">
        <v>-650</v>
      </c>
      <c r="L27" s="27" t="n">
        <v>-650</v>
      </c>
      <c r="M27" s="27" t="n">
        <v>-650</v>
      </c>
      <c r="N27" s="28" t="n">
        <v>-7800</v>
      </c>
    </row>
    <row r="28" ht="17" customHeight="1">
      <c r="A28" s="29">
        <f> EBT</f>
        <v/>
      </c>
      <c r="B28" s="30" t="n">
        <v>3300</v>
      </c>
      <c r="C28" s="30" t="n">
        <v>2300</v>
      </c>
      <c r="D28" s="30" t="n">
        <v>5200</v>
      </c>
      <c r="E28" s="30" t="n">
        <v>5000</v>
      </c>
      <c r="F28" s="30" t="n">
        <v>7250</v>
      </c>
      <c r="G28" s="30" t="n">
        <v>9100</v>
      </c>
      <c r="H28" s="30" t="n">
        <v>12200</v>
      </c>
      <c r="I28" s="30" t="n">
        <v>12900</v>
      </c>
      <c r="J28" s="30" t="n">
        <v>11050</v>
      </c>
      <c r="K28" s="30" t="n">
        <v>9300</v>
      </c>
      <c r="L28" s="30" t="n">
        <v>7750</v>
      </c>
      <c r="M28" s="30" t="n">
        <v>5500</v>
      </c>
      <c r="N28" s="31" t="n">
        <v>90850</v>
      </c>
    </row>
    <row r="29" ht="17" customHeight="1">
      <c r="A29" s="26" t="inlineStr">
        <is>
          <t>Steuern</t>
        </is>
      </c>
      <c r="B29" s="27" t="n">
        <v>0</v>
      </c>
      <c r="C29" s="27" t="n">
        <v>0</v>
      </c>
      <c r="D29" s="27" t="n">
        <v>0</v>
      </c>
      <c r="E29" s="27" t="n">
        <v>0</v>
      </c>
      <c r="F29" s="27" t="n">
        <v>0</v>
      </c>
      <c r="G29" s="27" t="n">
        <v>-2800</v>
      </c>
      <c r="H29" s="27" t="n">
        <v>0</v>
      </c>
      <c r="I29" s="27" t="n">
        <v>0</v>
      </c>
      <c r="J29" s="27" t="n">
        <v>0</v>
      </c>
      <c r="K29" s="27" t="n">
        <v>0</v>
      </c>
      <c r="L29" s="27" t="n">
        <v>0</v>
      </c>
      <c r="M29" s="27" t="n">
        <v>-4200</v>
      </c>
      <c r="N29" s="28" t="n">
        <v>-7000</v>
      </c>
    </row>
    <row r="30" ht="17" customHeight="1">
      <c r="A30" s="29">
        <f> JAHRESERGEBNIS</f>
        <v/>
      </c>
      <c r="B30" s="34" t="n">
        <v>3300</v>
      </c>
      <c r="C30" s="34" t="n">
        <v>2300</v>
      </c>
      <c r="D30" s="34" t="n">
        <v>5200</v>
      </c>
      <c r="E30" s="34" t="n">
        <v>5000</v>
      </c>
      <c r="F30" s="34" t="n">
        <v>7250</v>
      </c>
      <c r="G30" s="34" t="n">
        <v>6300</v>
      </c>
      <c r="H30" s="34" t="n">
        <v>12200</v>
      </c>
      <c r="I30" s="34" t="n">
        <v>12900</v>
      </c>
      <c r="J30" s="34" t="n">
        <v>11050</v>
      </c>
      <c r="K30" s="34" t="n">
        <v>9300</v>
      </c>
      <c r="L30" s="34" t="n">
        <v>7750</v>
      </c>
      <c r="M30" s="34" t="n">
        <v>1300</v>
      </c>
      <c r="N30" s="35" t="n">
        <v>83850</v>
      </c>
    </row>
  </sheetData>
  <mergeCells count="5">
    <mergeCell ref="A4:N4"/>
    <mergeCell ref="A26:N26"/>
    <mergeCell ref="A11:N11"/>
    <mergeCell ref="A14:N14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36" t="inlineStr">
        <is>
          <t>📝 Eigene Zahlen eintragen – Ergebnisse werden automatisch berechnet</t>
        </is>
      </c>
    </row>
    <row r="2" ht="20" customHeight="1">
      <c r="A2" s="37" t="inlineStr">
        <is>
          <t>Trage hier deine echten Monatszahlen ein (netto, in EUR). Die GuV-Auswertung passt sich automatisch an.</t>
        </is>
      </c>
    </row>
    <row r="4" ht="20" customHeight="1">
      <c r="A4" s="22" t="inlineStr">
        <is>
          <t>Kategorie</t>
        </is>
      </c>
      <c r="B4" s="23" t="inlineStr">
        <is>
          <t>Jan</t>
        </is>
      </c>
      <c r="C4" s="23" t="inlineStr">
        <is>
          <t>Feb</t>
        </is>
      </c>
      <c r="D4" s="23" t="inlineStr">
        <is>
          <t>Mär</t>
        </is>
      </c>
      <c r="E4" s="23" t="inlineStr">
        <is>
          <t>Apr</t>
        </is>
      </c>
      <c r="F4" s="23" t="inlineStr">
        <is>
          <t>Mai</t>
        </is>
      </c>
      <c r="G4" s="23" t="inlineStr">
        <is>
          <t>Jun</t>
        </is>
      </c>
      <c r="H4" s="23" t="inlineStr">
        <is>
          <t>Jul</t>
        </is>
      </c>
      <c r="I4" s="23" t="inlineStr">
        <is>
          <t>Aug</t>
        </is>
      </c>
      <c r="J4" s="23" t="inlineStr">
        <is>
          <t>Sep</t>
        </is>
      </c>
      <c r="K4" s="23" t="inlineStr">
        <is>
          <t>Okt</t>
        </is>
      </c>
      <c r="L4" s="23" t="inlineStr">
        <is>
          <t>Nov</t>
        </is>
      </c>
      <c r="M4" s="23" t="inlineStr">
        <is>
          <t>Dez</t>
        </is>
      </c>
      <c r="N4" s="24" t="inlineStr">
        <is>
          <t>Summe</t>
        </is>
      </c>
    </row>
    <row r="5" ht="18" customHeight="1">
      <c r="A5" s="25" t="inlineStr">
        <is>
          <t xml:space="preserve">  EINNAHMEN</t>
        </is>
      </c>
    </row>
    <row r="6" ht="18" customHeight="1">
      <c r="A6" s="26" t="inlineStr">
        <is>
          <t>Sanitär</t>
        </is>
      </c>
      <c r="B6" s="38" t="n">
        <v>0</v>
      </c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38" t="n">
        <v>0</v>
      </c>
      <c r="N6" s="31">
        <f>SUM(B6:M6)</f>
        <v/>
      </c>
    </row>
    <row r="7" ht="18" customHeight="1">
      <c r="A7" s="26" t="inlineStr">
        <is>
          <t>Heizung</t>
        </is>
      </c>
      <c r="B7" s="38" t="n">
        <v>0</v>
      </c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38" t="n">
        <v>0</v>
      </c>
      <c r="N7" s="31">
        <f>SUM(B7:M7)</f>
        <v/>
      </c>
    </row>
    <row r="8" ht="18" customHeight="1">
      <c r="A8" s="26" t="inlineStr">
        <is>
          <t>Klimaanlagen</t>
        </is>
      </c>
      <c r="B8" s="38" t="n">
        <v>0</v>
      </c>
      <c r="C8" s="38" t="n">
        <v>0</v>
      </c>
      <c r="D8" s="38" t="n">
        <v>0</v>
      </c>
      <c r="E8" s="38" t="n">
        <v>0</v>
      </c>
      <c r="F8" s="38" t="n">
        <v>0</v>
      </c>
      <c r="G8" s="38" t="n">
        <v>0</v>
      </c>
      <c r="H8" s="38" t="n">
        <v>0</v>
      </c>
      <c r="I8" s="38" t="n">
        <v>0</v>
      </c>
      <c r="J8" s="38" t="n">
        <v>0</v>
      </c>
      <c r="K8" s="38" t="n">
        <v>0</v>
      </c>
      <c r="L8" s="38" t="n">
        <v>0</v>
      </c>
      <c r="M8" s="38" t="n">
        <v>0</v>
      </c>
      <c r="N8" s="31">
        <f>SUM(B8:M8)</f>
        <v/>
      </c>
    </row>
    <row r="9" ht="18" customHeight="1">
      <c r="A9" s="26" t="inlineStr">
        <is>
          <t>Wartungsverträge</t>
        </is>
      </c>
      <c r="B9" s="38" t="n">
        <v>0</v>
      </c>
      <c r="C9" s="38" t="n">
        <v>0</v>
      </c>
      <c r="D9" s="38" t="n">
        <v>0</v>
      </c>
      <c r="E9" s="38" t="n">
        <v>0</v>
      </c>
      <c r="F9" s="38" t="n">
        <v>0</v>
      </c>
      <c r="G9" s="38" t="n">
        <v>0</v>
      </c>
      <c r="H9" s="38" t="n">
        <v>0</v>
      </c>
      <c r="I9" s="38" t="n">
        <v>0</v>
      </c>
      <c r="J9" s="38" t="n">
        <v>0</v>
      </c>
      <c r="K9" s="38" t="n">
        <v>0</v>
      </c>
      <c r="L9" s="38" t="n">
        <v>0</v>
      </c>
      <c r="M9" s="38" t="n">
        <v>0</v>
      </c>
      <c r="N9" s="31">
        <f>SUM(B9:M9)</f>
        <v/>
      </c>
    </row>
    <row r="10" ht="18" customHeight="1">
      <c r="A10" s="26" t="inlineStr">
        <is>
          <t>Notdienst</t>
        </is>
      </c>
      <c r="B10" s="38" t="n">
        <v>0</v>
      </c>
      <c r="C10" s="38" t="n">
        <v>0</v>
      </c>
      <c r="D10" s="38" t="n">
        <v>0</v>
      </c>
      <c r="E10" s="38" t="n">
        <v>0</v>
      </c>
      <c r="F10" s="38" t="n">
        <v>0</v>
      </c>
      <c r="G10" s="38" t="n">
        <v>0</v>
      </c>
      <c r="H10" s="38" t="n">
        <v>0</v>
      </c>
      <c r="I10" s="38" t="n">
        <v>0</v>
      </c>
      <c r="J10" s="38" t="n">
        <v>0</v>
      </c>
      <c r="K10" s="38" t="n">
        <v>0</v>
      </c>
      <c r="L10" s="38" t="n">
        <v>0</v>
      </c>
      <c r="M10" s="38" t="n">
        <v>0</v>
      </c>
      <c r="N10" s="31">
        <f>SUM(B10:M10)</f>
        <v/>
      </c>
    </row>
    <row r="11" ht="18" customHeight="1"/>
    <row r="12" ht="18" customHeight="1">
      <c r="A12" s="25" t="inlineStr">
        <is>
          <t xml:space="preserve">  AUSGABEN</t>
        </is>
      </c>
    </row>
    <row r="13" ht="18" customHeight="1">
      <c r="A13" s="26" t="inlineStr">
        <is>
          <t>Material &amp; Wareneinsatz</t>
        </is>
      </c>
      <c r="B13" s="38" t="n">
        <v>0</v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0</v>
      </c>
      <c r="H13" s="38" t="n">
        <v>0</v>
      </c>
      <c r="I13" s="38" t="n">
        <v>0</v>
      </c>
      <c r="J13" s="38" t="n">
        <v>0</v>
      </c>
      <c r="K13" s="38" t="n">
        <v>0</v>
      </c>
      <c r="L13" s="38" t="n">
        <v>0</v>
      </c>
      <c r="M13" s="38" t="n">
        <v>0</v>
      </c>
      <c r="N13" s="31">
        <f>SUM(B13:M13)</f>
        <v/>
      </c>
    </row>
    <row r="14" ht="18" customHeight="1">
      <c r="A14" s="26" t="inlineStr">
        <is>
          <t>Personalkosten</t>
        </is>
      </c>
      <c r="B14" s="38" t="n">
        <v>0</v>
      </c>
      <c r="C14" s="38" t="n">
        <v>0</v>
      </c>
      <c r="D14" s="38" t="n">
        <v>0</v>
      </c>
      <c r="E14" s="38" t="n">
        <v>0</v>
      </c>
      <c r="F14" s="38" t="n">
        <v>0</v>
      </c>
      <c r="G14" s="38" t="n">
        <v>0</v>
      </c>
      <c r="H14" s="38" t="n">
        <v>0</v>
      </c>
      <c r="I14" s="38" t="n">
        <v>0</v>
      </c>
      <c r="J14" s="38" t="n">
        <v>0</v>
      </c>
      <c r="K14" s="38" t="n">
        <v>0</v>
      </c>
      <c r="L14" s="38" t="n">
        <v>0</v>
      </c>
      <c r="M14" s="38" t="n">
        <v>0</v>
      </c>
      <c r="N14" s="31">
        <f>SUM(B14:M14)</f>
        <v/>
      </c>
    </row>
    <row r="15" ht="18" customHeight="1">
      <c r="A15" s="26" t="inlineStr">
        <is>
          <t>Fahrzeugkosten</t>
        </is>
      </c>
      <c r="B15" s="38" t="n">
        <v>0</v>
      </c>
      <c r="C15" s="38" t="n">
        <v>0</v>
      </c>
      <c r="D15" s="38" t="n">
        <v>0</v>
      </c>
      <c r="E15" s="38" t="n">
        <v>0</v>
      </c>
      <c r="F15" s="38" t="n">
        <v>0</v>
      </c>
      <c r="G15" s="38" t="n">
        <v>0</v>
      </c>
      <c r="H15" s="38" t="n">
        <v>0</v>
      </c>
      <c r="I15" s="38" t="n">
        <v>0</v>
      </c>
      <c r="J15" s="38" t="n">
        <v>0</v>
      </c>
      <c r="K15" s="38" t="n">
        <v>0</v>
      </c>
      <c r="L15" s="38" t="n">
        <v>0</v>
      </c>
      <c r="M15" s="38" t="n">
        <v>0</v>
      </c>
      <c r="N15" s="31">
        <f>SUM(B15:M15)</f>
        <v/>
      </c>
    </row>
    <row r="16" ht="18" customHeight="1">
      <c r="A16" s="26" t="inlineStr">
        <is>
          <t>Werkzeug &amp; Maschinen</t>
        </is>
      </c>
      <c r="B16" s="38" t="n">
        <v>0</v>
      </c>
      <c r="C16" s="38" t="n">
        <v>0</v>
      </c>
      <c r="D16" s="38" t="n">
        <v>0</v>
      </c>
      <c r="E16" s="38" t="n">
        <v>0</v>
      </c>
      <c r="F16" s="38" t="n">
        <v>0</v>
      </c>
      <c r="G16" s="38" t="n">
        <v>0</v>
      </c>
      <c r="H16" s="38" t="n">
        <v>0</v>
      </c>
      <c r="I16" s="38" t="n">
        <v>0</v>
      </c>
      <c r="J16" s="38" t="n">
        <v>0</v>
      </c>
      <c r="K16" s="38" t="n">
        <v>0</v>
      </c>
      <c r="L16" s="38" t="n">
        <v>0</v>
      </c>
      <c r="M16" s="38" t="n">
        <v>0</v>
      </c>
      <c r="N16" s="31">
        <f>SUM(B16:M16)</f>
        <v/>
      </c>
    </row>
    <row r="17" ht="18" customHeight="1">
      <c r="A17" s="26" t="inlineStr">
        <is>
          <t>Büro &amp; Verwaltung</t>
        </is>
      </c>
      <c r="B17" s="38" t="n">
        <v>0</v>
      </c>
      <c r="C17" s="38" t="n">
        <v>0</v>
      </c>
      <c r="D17" s="38" t="n">
        <v>0</v>
      </c>
      <c r="E17" s="38" t="n">
        <v>0</v>
      </c>
      <c r="F17" s="38" t="n">
        <v>0</v>
      </c>
      <c r="G17" s="38" t="n">
        <v>0</v>
      </c>
      <c r="H17" s="38" t="n">
        <v>0</v>
      </c>
      <c r="I17" s="38" t="n">
        <v>0</v>
      </c>
      <c r="J17" s="38" t="n">
        <v>0</v>
      </c>
      <c r="K17" s="38" t="n">
        <v>0</v>
      </c>
      <c r="L17" s="38" t="n">
        <v>0</v>
      </c>
      <c r="M17" s="38" t="n">
        <v>0</v>
      </c>
      <c r="N17" s="31">
        <f>SUM(B17:M17)</f>
        <v/>
      </c>
    </row>
    <row r="18" ht="18" customHeight="1">
      <c r="A18" s="26" t="inlineStr">
        <is>
          <t>Software &amp; Tools</t>
        </is>
      </c>
      <c r="B18" s="38" t="n">
        <v>0</v>
      </c>
      <c r="C18" s="38" t="n">
        <v>0</v>
      </c>
      <c r="D18" s="38" t="n">
        <v>0</v>
      </c>
      <c r="E18" s="38" t="n">
        <v>0</v>
      </c>
      <c r="F18" s="38" t="n">
        <v>0</v>
      </c>
      <c r="G18" s="38" t="n">
        <v>0</v>
      </c>
      <c r="H18" s="38" t="n">
        <v>0</v>
      </c>
      <c r="I18" s="38" t="n">
        <v>0</v>
      </c>
      <c r="J18" s="38" t="n">
        <v>0</v>
      </c>
      <c r="K18" s="38" t="n">
        <v>0</v>
      </c>
      <c r="L18" s="38" t="n">
        <v>0</v>
      </c>
      <c r="M18" s="38" t="n">
        <v>0</v>
      </c>
      <c r="N18" s="31">
        <f>SUM(B18:M18)</f>
        <v/>
      </c>
    </row>
    <row r="19" ht="18" customHeight="1">
      <c r="A19" s="26" t="inlineStr">
        <is>
          <t>Versicherungen</t>
        </is>
      </c>
      <c r="B19" s="38" t="n">
        <v>0</v>
      </c>
      <c r="C19" s="38" t="n">
        <v>0</v>
      </c>
      <c r="D19" s="38" t="n">
        <v>0</v>
      </c>
      <c r="E19" s="38" t="n">
        <v>0</v>
      </c>
      <c r="F19" s="38" t="n">
        <v>0</v>
      </c>
      <c r="G19" s="38" t="n">
        <v>0</v>
      </c>
      <c r="H19" s="38" t="n">
        <v>0</v>
      </c>
      <c r="I19" s="38" t="n">
        <v>0</v>
      </c>
      <c r="J19" s="38" t="n">
        <v>0</v>
      </c>
      <c r="K19" s="38" t="n">
        <v>0</v>
      </c>
      <c r="L19" s="38" t="n">
        <v>0</v>
      </c>
      <c r="M19" s="38" t="n">
        <v>0</v>
      </c>
      <c r="N19" s="31">
        <f>SUM(B19:M19)</f>
        <v/>
      </c>
    </row>
    <row r="20" ht="18" customHeight="1">
      <c r="A20" s="26" t="inlineStr">
        <is>
          <t>Steuerberater</t>
        </is>
      </c>
      <c r="B20" s="38" t="n">
        <v>0</v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0</v>
      </c>
      <c r="H20" s="38" t="n">
        <v>0</v>
      </c>
      <c r="I20" s="38" t="n">
        <v>0</v>
      </c>
      <c r="J20" s="38" t="n">
        <v>0</v>
      </c>
      <c r="K20" s="38" t="n">
        <v>0</v>
      </c>
      <c r="L20" s="38" t="n">
        <v>0</v>
      </c>
      <c r="M20" s="38" t="n">
        <v>0</v>
      </c>
      <c r="N20" s="31">
        <f>SUM(B20:M20)</f>
        <v/>
      </c>
    </row>
    <row r="21" ht="18" customHeight="1">
      <c r="A21" s="26" t="inlineStr">
        <is>
          <t>Marketing</t>
        </is>
      </c>
      <c r="B21" s="38" t="n">
        <v>0</v>
      </c>
      <c r="C21" s="38" t="n">
        <v>0</v>
      </c>
      <c r="D21" s="38" t="n">
        <v>0</v>
      </c>
      <c r="E21" s="38" t="n">
        <v>0</v>
      </c>
      <c r="F21" s="38" t="n">
        <v>0</v>
      </c>
      <c r="G21" s="38" t="n">
        <v>0</v>
      </c>
      <c r="H21" s="38" t="n">
        <v>0</v>
      </c>
      <c r="I21" s="38" t="n">
        <v>0</v>
      </c>
      <c r="J21" s="38" t="n">
        <v>0</v>
      </c>
      <c r="K21" s="38" t="n">
        <v>0</v>
      </c>
      <c r="L21" s="38" t="n">
        <v>0</v>
      </c>
      <c r="M21" s="38" t="n">
        <v>0</v>
      </c>
      <c r="N21" s="31">
        <f>SUM(B21:M21)</f>
        <v/>
      </c>
    </row>
    <row r="22" ht="18" customHeight="1">
      <c r="A22" s="26" t="inlineStr">
        <is>
          <t>Sonstige Ausgaben</t>
        </is>
      </c>
      <c r="B22" s="38" t="n">
        <v>0</v>
      </c>
      <c r="C22" s="38" t="n">
        <v>0</v>
      </c>
      <c r="D22" s="38" t="n">
        <v>0</v>
      </c>
      <c r="E22" s="38" t="n">
        <v>0</v>
      </c>
      <c r="F22" s="38" t="n">
        <v>0</v>
      </c>
      <c r="G22" s="38" t="n">
        <v>0</v>
      </c>
      <c r="H22" s="38" t="n">
        <v>0</v>
      </c>
      <c r="I22" s="38" t="n">
        <v>0</v>
      </c>
      <c r="J22" s="38" t="n">
        <v>0</v>
      </c>
      <c r="K22" s="38" t="n">
        <v>0</v>
      </c>
      <c r="L22" s="38" t="n">
        <v>0</v>
      </c>
      <c r="M22" s="38" t="n">
        <v>0</v>
      </c>
      <c r="N22" s="31">
        <f>SUM(B22:M22)</f>
        <v/>
      </c>
    </row>
    <row r="23" ht="18" customHeight="1">
      <c r="A23" s="26" t="inlineStr">
        <is>
          <t>Zinsen</t>
        </is>
      </c>
      <c r="B23" s="38" t="n">
        <v>0</v>
      </c>
      <c r="C23" s="38" t="n">
        <v>0</v>
      </c>
      <c r="D23" s="38" t="n">
        <v>0</v>
      </c>
      <c r="E23" s="38" t="n">
        <v>0</v>
      </c>
      <c r="F23" s="38" t="n">
        <v>0</v>
      </c>
      <c r="G23" s="38" t="n">
        <v>0</v>
      </c>
      <c r="H23" s="38" t="n">
        <v>0</v>
      </c>
      <c r="I23" s="38" t="n">
        <v>0</v>
      </c>
      <c r="J23" s="38" t="n">
        <v>0</v>
      </c>
      <c r="K23" s="38" t="n">
        <v>0</v>
      </c>
      <c r="L23" s="38" t="n">
        <v>0</v>
      </c>
      <c r="M23" s="38" t="n">
        <v>0</v>
      </c>
      <c r="N23" s="31">
        <f>SUM(B23:M23)</f>
        <v/>
      </c>
    </row>
    <row r="24" ht="18" customHeight="1">
      <c r="A24" s="26" t="inlineStr">
        <is>
          <t>Steuern (Gewerbe/ESt)</t>
        </is>
      </c>
      <c r="B24" s="38" t="n">
        <v>0</v>
      </c>
      <c r="C24" s="38" t="n">
        <v>0</v>
      </c>
      <c r="D24" s="38" t="n">
        <v>0</v>
      </c>
      <c r="E24" s="38" t="n">
        <v>0</v>
      </c>
      <c r="F24" s="38" t="n">
        <v>0</v>
      </c>
      <c r="G24" s="38" t="n">
        <v>0</v>
      </c>
      <c r="H24" s="38" t="n">
        <v>0</v>
      </c>
      <c r="I24" s="38" t="n">
        <v>0</v>
      </c>
      <c r="J24" s="38" t="n">
        <v>0</v>
      </c>
      <c r="K24" s="38" t="n">
        <v>0</v>
      </c>
      <c r="L24" s="38" t="n">
        <v>0</v>
      </c>
      <c r="M24" s="38" t="n">
        <v>0</v>
      </c>
      <c r="N24" s="31">
        <f>SUM(B24:M24)</f>
        <v/>
      </c>
    </row>
  </sheetData>
  <mergeCells count="4">
    <mergeCell ref="A5:N5"/>
    <mergeCell ref="A2:N2"/>
    <mergeCell ref="A12:N1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2026-06-11T10:20:52Z</dcterms:created>
  <dcterms:modified xsi:type="dcterms:W3CDTF">2026-06-11T10:20:52Z</dcterms:modified>
</cp:coreProperties>
</file>